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978f6f835df9d05/Documents/informatique/VBA/"/>
    </mc:Choice>
  </mc:AlternateContent>
  <xr:revisionPtr revIDLastSave="93" documentId="8_{B632180D-6A1B-47E1-B44D-83D6BBAB7C50}" xr6:coauthVersionLast="47" xr6:coauthVersionMax="47" xr10:uidLastSave="{9D3D07C3-F4D7-4A20-9C28-EE48C8D2F68E}"/>
  <bookViews>
    <workbookView xWindow="3585" yWindow="885" windowWidth="27585" windowHeight="18675" xr2:uid="{00000000-000D-0000-FFFF-FFFF00000000}"/>
  </bookViews>
  <sheets>
    <sheet name="Générer Requêtes" sheetId="1" r:id="rId1"/>
    <sheet name="DV" sheetId="3" r:id="rId2"/>
    <sheet name="Paramètres" sheetId="5" r:id="rId3"/>
  </sheets>
  <functionGroups builtInGroupCount="19"/>
  <definedNames>
    <definedName name="_xlnm._FilterDatabase" localSheetId="1" hidden="1">DV!$A$1:$C$28</definedName>
    <definedName name="_xlnm._FilterDatabase" localSheetId="2" hidden="1">Paramètres!$A$1:$B$2</definedName>
    <definedName name="Commentaire">DV!$B$5</definedName>
    <definedName name="Commentaire_Val">DV!$B$5:$C$5</definedName>
    <definedName name="Controles">'Générer Requêtes'!$I$12</definedName>
    <definedName name="Date_Saisie">'Générer Requêtes'!$C$8</definedName>
    <definedName name="Date_Saisie_NR">DV!$B$2</definedName>
    <definedName name="Date_Saisie_NR_Val">DV!$B$2:$C$2</definedName>
    <definedName name="Environnement">DV!$B$8:$B$10</definedName>
    <definedName name="Environnement_Val">DV!$B$8:$C$10</definedName>
    <definedName name="Horodatage_Saisi">'Générer Requêtes'!$C$9</definedName>
    <definedName name="Horodatage_Saisi_NR">DV!$B$3</definedName>
    <definedName name="Horodatage_Saisi_NR_Val">DV!$B$3:$C$3</definedName>
    <definedName name="Ion">DV!$B$25:$B$27</definedName>
    <definedName name="Ion_Val">DV!$B$25:$C$27</definedName>
    <definedName name="Lib_Critère">'Générer Requêtes'!$C$12</definedName>
    <definedName name="Lib_Ind_Erreur">'Générer Requêtes'!$G$12</definedName>
    <definedName name="Lib_SQL">'Générer Requêtes'!$F$12</definedName>
    <definedName name="Lib_Valeur">'Générer Requêtes'!$E$12</definedName>
    <definedName name="Marque">DV!$B$14:$B$16</definedName>
    <definedName name="Marque_Val">DV!$B$14:$C$16</definedName>
    <definedName name="Mode_Developpeur">DV!$B$6:$B$7</definedName>
    <definedName name="Mode_Developpeur_Val">DV!$B$6:$C$7</definedName>
    <definedName name="Nbre_Resultats_Max">'Générer Requêtes'!$C$10</definedName>
    <definedName name="Nbre_Resultats_Max_NR">DV!$B$4</definedName>
    <definedName name="Nbre_Resultats_Max_NR_Val">DV!$B$4:$C$4</definedName>
    <definedName name="No_Partition_SGBD">'Générer Requêtes'!$C$4</definedName>
    <definedName name="Quantité">DV!$B$28</definedName>
    <definedName name="Quantité_Val">DV!$B$28:$C$28</definedName>
    <definedName name="Restituer_Bouteille">DV!$B$11:$B$13</definedName>
    <definedName name="Restituer_Bouteille_Val">DV!$B$11:$C$13</definedName>
    <definedName name="Restituer_Composition">DV!$B$22:$B$24</definedName>
    <definedName name="Restituer_Composition_Val">DV!$B$22:$C$24</definedName>
    <definedName name="Schema">'Générer Requêtes'!$C$3</definedName>
    <definedName name="Statut">'Générer Requêtes'!$H$8</definedName>
    <definedName name="Ville">DV!$B$17:$B$21</definedName>
    <definedName name="Ville_Val">DV!$B$17:$C$21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" i="1" l="1"/>
  <c r="H19" i="1" s="1"/>
  <c r="F18" i="1"/>
  <c r="F17" i="1"/>
  <c r="H17" i="1" s="1"/>
  <c r="F16" i="1"/>
  <c r="H16" i="1" s="1"/>
  <c r="F20" i="1"/>
  <c r="D20" i="1" s="1"/>
  <c r="F21" i="1"/>
  <c r="F15" i="1"/>
  <c r="D15" i="1" s="1"/>
  <c r="G16" i="1" l="1"/>
  <c r="D16" i="1"/>
  <c r="D19" i="1"/>
  <c r="G19" i="1"/>
  <c r="D21" i="1"/>
  <c r="H18" i="1"/>
  <c r="E8" i="1" a="1"/>
  <c r="H21" i="1" l="1"/>
  <c r="G21" i="1" s="1"/>
  <c r="H20" i="1"/>
  <c r="G20" i="1" s="1"/>
  <c r="G18" i="1"/>
  <c r="E8" i="1"/>
  <c r="D18" i="1" l="1"/>
  <c r="D17" i="1" l="1"/>
  <c r="H15" i="1" l="1"/>
  <c r="G15" i="1" l="1"/>
  <c r="G17" i="1" l="1"/>
  <c r="I1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<sst xmlns="http://schemas.openxmlformats.org/spreadsheetml/2006/main" count="120" uniqueCount="62">
  <si>
    <t>Valeur</t>
  </si>
  <si>
    <t>Critère</t>
  </si>
  <si>
    <t>Nombre max résultats</t>
  </si>
  <si>
    <t>Environnement</t>
  </si>
  <si>
    <t>Domaine</t>
  </si>
  <si>
    <t>Niveau</t>
  </si>
  <si>
    <t>Commentaire</t>
  </si>
  <si>
    <t>Contrôles :</t>
  </si>
  <si>
    <t>Libellé du paramètre</t>
  </si>
  <si>
    <t>Valeur du paramètre</t>
  </si>
  <si>
    <t>NON RENSEIGNE</t>
  </si>
  <si>
    <t>Mode Développeur</t>
  </si>
  <si>
    <t>Mode_Developpeur</t>
  </si>
  <si>
    <t>VRAI</t>
  </si>
  <si>
    <t>FAUX</t>
  </si>
  <si>
    <t>Erreur</t>
  </si>
  <si>
    <t>Non renseigné</t>
  </si>
  <si>
    <t>Nbre_Resultats_Max_NR</t>
  </si>
  <si>
    <t>Liste déroulante</t>
  </si>
  <si>
    <t>Nom</t>
  </si>
  <si>
    <t>Assemblage</t>
  </si>
  <si>
    <t>Intégration</t>
  </si>
  <si>
    <t>int</t>
  </si>
  <si>
    <t>ass</t>
  </si>
  <si>
    <t>Modèles</t>
  </si>
  <si>
    <t>Dossier des requêtes</t>
  </si>
  <si>
    <t>Eau</t>
  </si>
  <si>
    <t>Bouteille</t>
  </si>
  <si>
    <t>Marque</t>
  </si>
  <si>
    <t>SOURCE</t>
  </si>
  <si>
    <t>Eau de source</t>
  </si>
  <si>
    <t>Eau naturelle</t>
  </si>
  <si>
    <t>NATURELLE</t>
  </si>
  <si>
    <t>Ville</t>
  </si>
  <si>
    <t>Non renseignée</t>
  </si>
  <si>
    <t>Paris</t>
  </si>
  <si>
    <t>PARIS</t>
  </si>
  <si>
    <t>Lyon</t>
  </si>
  <si>
    <t>LYON</t>
  </si>
  <si>
    <t>Bordeaux</t>
  </si>
  <si>
    <t>BORDEAUX</t>
  </si>
  <si>
    <t>GENEVE</t>
  </si>
  <si>
    <t>Genève</t>
  </si>
  <si>
    <t>Composition</t>
  </si>
  <si>
    <t>Ion</t>
  </si>
  <si>
    <t>Quantité</t>
  </si>
  <si>
    <t>Magnésium</t>
  </si>
  <si>
    <t>Sodium</t>
  </si>
  <si>
    <t>Na</t>
  </si>
  <si>
    <t>Mg</t>
  </si>
  <si>
    <t>Restituer Composition</t>
  </si>
  <si>
    <t>Restituer Bouteille</t>
  </si>
  <si>
    <t>Oui</t>
  </si>
  <si>
    <t>Non</t>
  </si>
  <si>
    <t>Restituer_Bouteille</t>
  </si>
  <si>
    <t>Restituer_Composition</t>
  </si>
  <si>
    <t>RESTITUE</t>
  </si>
  <si>
    <t>NON RESTITUE</t>
  </si>
  <si>
    <t>Horodatage</t>
  </si>
  <si>
    <t>Date</t>
  </si>
  <si>
    <t>Date_Saisie_NR</t>
  </si>
  <si>
    <t>Horodatage_Saisi_NR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</si>
</sst>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.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rgb="FFFFFF00"/>
      <name val="Calibri"/>
      <family val="2"/>
      <scheme val="minor"/>
    </font>
    <font>
      <sz val="10"/>
      <name val="Arial"/>
      <family val="2"/>
    </font>
    <font>
      <sz val="14"/>
      <color rgb="FF000000"/>
      <name val="Calibri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Wingdings"/>
      <charset val="2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rgb="FFDCE6F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dashed">
        <color theme="4" tint="-0.499984740745262"/>
      </bottom>
      <diagonal/>
    </border>
    <border>
      <left/>
      <right/>
      <top style="dashed">
        <color theme="4" tint="-0.499984740745262"/>
      </top>
      <bottom/>
      <diagonal/>
    </border>
    <border>
      <left/>
      <right/>
      <top style="dashed">
        <color theme="4" tint="-0.499984740745262"/>
      </top>
      <bottom style="dashed">
        <color theme="4" tint="-0.499984740745262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10" fillId="7" borderId="15" applyNumberFormat="0" applyFont="0" applyAlignment="0" applyProtection="0"/>
  </cellStyleXfs>
  <cellXfs count="13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4" borderId="8" xfId="0" applyFont="1" applyFill="1" applyBorder="1" applyAlignment="1">
      <alignment vertical="center"/>
    </xf>
    <xf numFmtId="0" fontId="2" fillId="4" borderId="10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5" borderId="0" xfId="0" applyFill="1"/>
    <xf numFmtId="0" fontId="1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0" fontId="0" fillId="0" borderId="0" xfId="0" applyAlignment="1">
      <alignment horizontal="left"/>
    </xf>
    <xf numFmtId="49" fontId="1" fillId="5" borderId="1" xfId="0" applyNumberFormat="1" applyFont="1" applyFill="1" applyBorder="1" applyAlignment="1">
      <alignment horizontal="center" vertical="center"/>
    </xf>
    <xf numFmtId="49" fontId="0" fillId="5" borderId="0" xfId="0" applyNumberFormat="1" applyFill="1"/>
    <xf numFmtId="0" fontId="0" fillId="5" borderId="1" xfId="0" applyFill="1" applyBorder="1"/>
    <xf numFmtId="0" fontId="2" fillId="0" borderId="0" xfId="0" applyFont="1" applyAlignment="1">
      <alignment horizontal="left" vertic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5" fillId="0" borderId="18" xfId="0" applyFont="1" applyBorder="1" applyAlignment="1">
      <alignment vertical="center"/>
    </xf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5" fillId="4" borderId="3" xfId="0" applyFont="1" applyFill="1" applyBorder="1" applyAlignment="1">
      <alignment vertical="center"/>
    </xf>
    <xf numFmtId="0" fontId="2" fillId="0" borderId="6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0" xfId="0" applyFill="1" applyAlignment="1">
      <alignment horizontal="left" vertical="center" wrapText="1"/>
    </xf>
    <xf numFmtId="0" fontId="7" fillId="4" borderId="0" xfId="0" applyFont="1" applyFill="1" applyAlignment="1">
      <alignment horizontal="left" vertical="center" indent="6"/>
    </xf>
    <xf numFmtId="0" fontId="6" fillId="4" borderId="0" xfId="0" applyFont="1" applyFill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8" xfId="0" applyFill="1" applyBorder="1" applyAlignment="1">
      <alignment horizontal="left" vertical="center" wrapText="1"/>
    </xf>
    <xf numFmtId="0" fontId="7" fillId="4" borderId="3" xfId="0" applyFont="1" applyFill="1" applyBorder="1" applyAlignment="1">
      <alignment horizontal="left" vertical="center" indent="6"/>
    </xf>
    <xf numFmtId="0" fontId="6" fillId="4" borderId="6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left" vertical="center" wrapText="1"/>
    </xf>
    <xf numFmtId="0" fontId="4" fillId="4" borderId="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20" xfId="0" applyBorder="1"/>
    <xf numFmtId="0" fontId="2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 indent="1"/>
    </xf>
    <xf numFmtId="0" fontId="0" fillId="0" borderId="13" xfId="0" applyBorder="1" applyAlignment="1" applyProtection="1">
      <alignment horizontal="left"/>
      <protection locked="0"/>
    </xf>
    <xf numFmtId="0" fontId="5" fillId="9" borderId="1" xfId="0" applyFont="1" applyFill="1" applyBorder="1" applyAlignment="1">
      <alignment vertical="center"/>
    </xf>
    <xf numFmtId="49" fontId="5" fillId="9" borderId="1" xfId="0" applyNumberFormat="1" applyFont="1" applyFill="1" applyBorder="1" applyAlignment="1">
      <alignment vertical="center"/>
    </xf>
    <xf numFmtId="0" fontId="0" fillId="9" borderId="1" xfId="0" applyFill="1" applyBorder="1"/>
    <xf numFmtId="49" fontId="0" fillId="9" borderId="1" xfId="0" applyNumberFormat="1" applyFill="1" applyBorder="1"/>
    <xf numFmtId="0" fontId="17" fillId="0" borderId="0" xfId="0" applyFont="1" applyAlignment="1">
      <alignment horizontal="center" vertical="center"/>
    </xf>
    <xf numFmtId="0" fontId="16" fillId="2" borderId="24" xfId="0" applyFont="1" applyFill="1" applyBorder="1" applyAlignment="1" applyProtection="1">
      <alignment horizontal="left" vertical="center"/>
      <protection locked="0"/>
    </xf>
    <xf numFmtId="164" fontId="14" fillId="3" borderId="24" xfId="0" applyNumberFormat="1" applyFont="1" applyFill="1" applyBorder="1" applyAlignment="1" applyProtection="1">
      <alignment horizontal="left" vertical="center" wrapText="1"/>
      <protection locked="0"/>
    </xf>
    <xf numFmtId="0" fontId="14" fillId="3" borderId="25" xfId="0" applyFont="1" applyFill="1" applyBorder="1" applyAlignment="1" applyProtection="1">
      <alignment horizontal="left" vertical="center"/>
      <protection locked="0"/>
    </xf>
    <xf numFmtId="49" fontId="14" fillId="3" borderId="11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vertical="top"/>
    </xf>
    <xf numFmtId="0" fontId="16" fillId="4" borderId="25" xfId="0" applyFont="1" applyFill="1" applyBorder="1" applyAlignment="1" applyProtection="1">
      <alignment horizontal="left" vertical="center"/>
      <protection locked="0"/>
    </xf>
    <xf numFmtId="49" fontId="5" fillId="0" borderId="1" xfId="0" quotePrefix="1" applyNumberFormat="1" applyFont="1" applyBorder="1" applyAlignment="1">
      <alignment vertical="center"/>
    </xf>
    <xf numFmtId="0" fontId="0" fillId="0" borderId="1" xfId="0" applyBorder="1"/>
    <xf numFmtId="0" fontId="5" fillId="0" borderId="1" xfId="0" applyFont="1" applyBorder="1" applyAlignment="1">
      <alignment vertical="center"/>
    </xf>
    <xf numFmtId="49" fontId="5" fillId="0" borderId="1" xfId="0" applyNumberFormat="1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10" borderId="1" xfId="0" applyFill="1" applyBorder="1"/>
    <xf numFmtId="0" fontId="14" fillId="8" borderId="16" xfId="0" applyFont="1" applyFill="1" applyBorder="1" applyAlignment="1" applyProtection="1">
      <alignment horizontal="left" vertical="center" wrapText="1"/>
      <protection locked="0"/>
    </xf>
    <xf numFmtId="0" fontId="5" fillId="0" borderId="12" xfId="0" applyFont="1" applyBorder="1" applyAlignment="1">
      <alignment vertical="center"/>
    </xf>
    <xf numFmtId="0" fontId="0" fillId="0" borderId="13" xfId="0" applyBorder="1" applyAlignment="1">
      <alignment horizontal="left" vertical="center"/>
    </xf>
    <xf numFmtId="0" fontId="0" fillId="0" borderId="13" xfId="0" applyBorder="1" applyAlignment="1">
      <alignment vertical="center"/>
    </xf>
    <xf numFmtId="20" fontId="14" fillId="8" borderId="33" xfId="0" applyNumberFormat="1" applyFont="1" applyFill="1" applyBorder="1" applyAlignment="1" applyProtection="1">
      <alignment horizontal="left" vertical="center" wrapText="1"/>
      <protection locked="0"/>
    </xf>
    <xf numFmtId="49" fontId="0" fillId="0" borderId="1" xfId="0" applyNumberFormat="1" applyBorder="1"/>
    <xf numFmtId="49" fontId="14" fillId="8" borderId="30" xfId="0" applyNumberFormat="1" applyFont="1" applyFill="1" applyBorder="1" applyAlignment="1" applyProtection="1">
      <alignment horizontal="left" vertical="center" wrapText="1"/>
      <protection locked="0"/>
    </xf>
    <xf numFmtId="0" fontId="0" fillId="5" borderId="14" xfId="0" applyFill="1" applyBorder="1" applyAlignment="1">
      <alignment horizontal="left" vertical="center"/>
    </xf>
    <xf numFmtId="0" fontId="14" fillId="8" borderId="35" xfId="0" applyFont="1" applyFill="1" applyBorder="1" applyAlignment="1" applyProtection="1">
      <alignment horizontal="left" vertical="center" wrapText="1"/>
      <protection locked="0"/>
    </xf>
    <xf numFmtId="0" fontId="14" fillId="8" borderId="33" xfId="0" applyFont="1" applyFill="1" applyBorder="1" applyAlignment="1" applyProtection="1">
      <alignment horizontal="left" vertical="center" wrapText="1"/>
      <protection locked="0"/>
    </xf>
    <xf numFmtId="0" fontId="14" fillId="3" borderId="16" xfId="0" applyFont="1" applyFill="1" applyBorder="1" applyAlignment="1" applyProtection="1">
      <alignment horizontal="left" vertical="center" wrapText="1"/>
      <protection locked="0"/>
    </xf>
    <xf numFmtId="0" fontId="0" fillId="5" borderId="12" xfId="0" applyFill="1" applyBorder="1" applyAlignment="1">
      <alignment horizontal="left" vertical="center"/>
    </xf>
    <xf numFmtId="14" fontId="14" fillId="3" borderId="26" xfId="0" applyNumberFormat="1" applyFont="1" applyFill="1" applyBorder="1" applyAlignment="1" applyProtection="1">
      <alignment horizontal="left" vertical="center" wrapText="1"/>
      <protection locked="0"/>
    </xf>
    <xf numFmtId="0" fontId="18" fillId="9" borderId="1" xfId="0" applyFont="1" applyFill="1" applyBorder="1"/>
    <xf numFmtId="0" fontId="18" fillId="9" borderId="1" xfId="0" applyFont="1" applyFill="1" applyBorder="1" applyAlignment="1">
      <alignment horizontal="left"/>
    </xf>
    <xf numFmtId="49" fontId="18" fillId="9" borderId="1" xfId="0" applyNumberFormat="1" applyFont="1" applyFill="1" applyBorder="1"/>
    <xf numFmtId="0" fontId="18" fillId="5" borderId="1" xfId="0" applyFont="1" applyFill="1" applyBorder="1"/>
    <xf numFmtId="0" fontId="18" fillId="5" borderId="1" xfId="0" applyFont="1" applyFill="1" applyBorder="1" applyAlignment="1">
      <alignment horizontal="left"/>
    </xf>
    <xf numFmtId="49" fontId="18" fillId="5" borderId="1" xfId="0" applyNumberFormat="1" applyFont="1" applyFill="1" applyBorder="1"/>
    <xf numFmtId="0" fontId="18" fillId="9" borderId="1" xfId="0" applyFont="1" applyFill="1" applyBorder="1" applyAlignment="1">
      <alignment horizontal="left" vertical="center"/>
    </xf>
    <xf numFmtId="49" fontId="18" fillId="9" borderId="1" xfId="0" applyNumberFormat="1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49" fontId="5" fillId="0" borderId="1" xfId="0" applyNumberFormat="1" applyFont="1" applyBorder="1" applyAlignment="1">
      <alignment horizontal="left" vertical="top"/>
    </xf>
    <xf numFmtId="0" fontId="13" fillId="0" borderId="22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7" xfId="0" applyFont="1" applyBorder="1" applyAlignment="1">
      <alignment horizontal="left" vertical="center"/>
    </xf>
    <xf numFmtId="0" fontId="13" fillId="0" borderId="28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0" borderId="20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3" xfId="0" applyFont="1" applyBorder="1" applyAlignment="1">
      <alignment horizontal="left" vertical="center"/>
    </xf>
    <xf numFmtId="0" fontId="13" fillId="0" borderId="19" xfId="0" applyFont="1" applyBorder="1" applyAlignment="1">
      <alignment horizontal="left" vertical="center"/>
    </xf>
    <xf numFmtId="0" fontId="13" fillId="0" borderId="21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0" fontId="4" fillId="4" borderId="6" xfId="0" applyFont="1" applyFill="1" applyBorder="1" applyAlignment="1">
      <alignment horizontal="right" vertical="center" indent="2"/>
    </xf>
    <xf numFmtId="0" fontId="4" fillId="4" borderId="0" xfId="0" applyFont="1" applyFill="1" applyAlignment="1">
      <alignment horizontal="right" vertical="center" indent="2"/>
    </xf>
    <xf numFmtId="0" fontId="7" fillId="6" borderId="0" xfId="0" applyFont="1" applyFill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9" fillId="4" borderId="0" xfId="0" applyFont="1" applyFill="1" applyAlignment="1">
      <alignment horizontal="center" vertical="center"/>
    </xf>
    <xf numFmtId="0" fontId="13" fillId="0" borderId="31" xfId="0" applyFont="1" applyBorder="1" applyAlignment="1">
      <alignment horizontal="left" vertical="center"/>
    </xf>
    <xf numFmtId="0" fontId="13" fillId="0" borderId="32" xfId="0" applyFont="1" applyBorder="1" applyAlignment="1">
      <alignment horizontal="left" vertical="center"/>
    </xf>
    <xf numFmtId="0" fontId="13" fillId="0" borderId="27" xfId="0" applyFont="1" applyBorder="1" applyAlignment="1">
      <alignment horizontal="left" vertical="center"/>
    </xf>
    <xf numFmtId="0" fontId="13" fillId="0" borderId="36" xfId="0" applyFont="1" applyBorder="1" applyAlignment="1">
      <alignment horizontal="left" vertical="center"/>
    </xf>
    <xf numFmtId="0" fontId="13" fillId="0" borderId="37" xfId="0" applyFont="1" applyBorder="1" applyAlignment="1">
      <alignment horizontal="left" vertical="center"/>
    </xf>
    <xf numFmtId="0" fontId="13" fillId="0" borderId="38" xfId="0" applyFont="1" applyBorder="1" applyAlignment="1">
      <alignment horizontal="left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2" fillId="0" borderId="20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</cellXfs>
  <cellStyles count="3">
    <cellStyle name="Commentaire" xfId="2" xr:uid="{EAEAE012-93BB-4A3D-A013-2E2FF050493B}"/>
    <cellStyle name="Normal" xfId="0" builtinId="0"/>
    <cellStyle name="Normal 2" xfId="1" xr:uid="{9BB4ED79-D564-4C26-BA69-77962550699E}"/>
  </cellStyles>
  <dxfs count="3">
    <dxf>
      <font>
        <color rgb="FF00B050"/>
      </font>
    </dxf>
    <dxf>
      <font>
        <b/>
        <i val="0"/>
        <strike val="0"/>
        <color theme="1"/>
      </font>
    </dxf>
    <dxf>
      <fill>
        <patternFill>
          <bgColor rgb="FFFFFF00"/>
        </patternFill>
      </fill>
    </dxf>
  </dxfs>
  <tableStyles count="0" defaultTableStyle="TableStyleMedium2" defaultPivotStyle="PivotStyleMedium9"/>
  <colors>
    <mruColors>
      <color rgb="FFFFFFCC"/>
      <color rgb="FF660033"/>
      <color rgb="FFCCCC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17/10/relationships/person" Target="persons/person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</xdr:row>
          <xdr:rowOff>28575</xdr:rowOff>
        </xdr:from>
        <xdr:to>
          <xdr:col>4</xdr:col>
          <xdr:colOff>1295400</xdr:colOff>
          <xdr:row>3</xdr:row>
          <xdr:rowOff>180975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1447800</xdr:colOff>
          <xdr:row>2</xdr:row>
          <xdr:rowOff>28575</xdr:rowOff>
        </xdr:from>
        <xdr:to>
          <xdr:col>5</xdr:col>
          <xdr:colOff>9525</xdr:colOff>
          <xdr:row>3</xdr:row>
          <xdr:rowOff>180975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 dans le presse-papiers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0</xdr:row>
          <xdr:rowOff>0</xdr:rowOff>
        </xdr:from>
        <xdr:to>
          <xdr:col>6</xdr:col>
          <xdr:colOff>95250</xdr:colOff>
          <xdr:row>0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Réactualiser les noms Excel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J21"/>
  <sheetViews>
    <sheetView showGridLines="0" tabSelected="1" zoomScaleNormal="100" workbookViewId="0">
      <pane xSplit="4" ySplit="14" topLeftCell="E15" activePane="bottomRight" state="frozen"/>
      <selection pane="topRight" activeCell="E1" sqref="E1"/>
      <selection pane="bottomLeft" activeCell="A12" sqref="A12"/>
      <selection pane="bottomRight" activeCell="E15" sqref="E15"/>
    </sheetView>
  </sheetViews>
  <sheetFormatPr baseColWidth="10" defaultColWidth="9.140625" defaultRowHeight="15" x14ac:dyDescent="0.25"/>
  <cols>
    <col min="1" max="1" width="18.7109375" style="1" customWidth="1"/>
    <col min="2" max="2" width="29.140625" style="1" bestFit="1" customWidth="1"/>
    <col min="3" max="3" width="34" style="1" bestFit="1" customWidth="1"/>
    <col min="4" max="4" width="2.7109375" style="1" customWidth="1"/>
    <col min="5" max="5" width="56.7109375" style="1" customWidth="1"/>
    <col min="6" max="6" width="2.7109375" style="2" customWidth="1"/>
    <col min="7" max="7" width="5.7109375" style="8" hidden="1" customWidth="1"/>
    <col min="8" max="8" width="17.7109375" style="8" customWidth="1"/>
    <col min="9" max="9" width="17.7109375" style="9" customWidth="1"/>
    <col min="10" max="10" width="75.7109375" style="7" customWidth="1"/>
    <col min="11" max="16384" width="9.140625" style="1"/>
  </cols>
  <sheetData>
    <row r="1" spans="1:10" ht="5.0999999999999996" customHeight="1" thickBot="1" x14ac:dyDescent="0.3"/>
    <row r="2" spans="1:10" ht="5.0999999999999996" customHeight="1" x14ac:dyDescent="0.25">
      <c r="A2" s="3"/>
      <c r="B2" s="4"/>
      <c r="C2" s="4"/>
      <c r="D2" s="4"/>
      <c r="E2" s="41"/>
      <c r="F2" s="40"/>
      <c r="G2" s="10"/>
      <c r="H2" s="10"/>
      <c r="I2" s="33"/>
      <c r="J2" s="12"/>
    </row>
    <row r="3" spans="1:10" ht="17.100000000000001" customHeight="1" x14ac:dyDescent="0.25">
      <c r="A3" s="107" t="s">
        <v>3</v>
      </c>
      <c r="B3" s="108"/>
      <c r="C3" s="61" t="s">
        <v>16</v>
      </c>
      <c r="D3" s="15"/>
      <c r="E3" s="28"/>
      <c r="F3" s="15"/>
      <c r="G3" s="15"/>
      <c r="H3" s="15"/>
      <c r="I3" s="15"/>
      <c r="J3" s="30"/>
    </row>
    <row r="4" spans="1:10" ht="17.100000000000001" customHeight="1" x14ac:dyDescent="0.25">
      <c r="A4" s="107"/>
      <c r="B4" s="108"/>
      <c r="C4" s="66"/>
      <c r="D4" s="27"/>
      <c r="E4" s="36"/>
      <c r="F4" s="29"/>
      <c r="G4" s="29"/>
      <c r="H4" s="52"/>
      <c r="I4" s="35"/>
      <c r="J4" s="30"/>
    </row>
    <row r="5" spans="1:10" ht="5.0999999999999996" customHeight="1" thickBot="1" x14ac:dyDescent="0.3">
      <c r="A5" s="5"/>
      <c r="B5" s="6"/>
      <c r="C5" s="6"/>
      <c r="D5" s="6"/>
      <c r="E5" s="6"/>
      <c r="F5" s="6"/>
      <c r="G5" s="6"/>
      <c r="H5" s="11"/>
      <c r="I5" s="11"/>
      <c r="J5" s="13"/>
    </row>
    <row r="6" spans="1:10" ht="5.0999999999999996" customHeight="1" thickBot="1" x14ac:dyDescent="0.3">
      <c r="A6" s="2"/>
      <c r="B6" s="2"/>
      <c r="C6" s="2"/>
      <c r="D6" s="2"/>
      <c r="E6" s="2"/>
      <c r="G6" s="9"/>
      <c r="H6" s="9"/>
    </row>
    <row r="7" spans="1:10" ht="5.0999999999999996" customHeight="1" x14ac:dyDescent="0.25">
      <c r="A7" s="39"/>
      <c r="B7" s="40"/>
      <c r="C7" s="40"/>
      <c r="D7" s="40"/>
      <c r="E7" s="41"/>
      <c r="F7" s="40"/>
      <c r="G7" s="33"/>
      <c r="H7" s="33"/>
      <c r="I7" s="33"/>
      <c r="J7" s="12"/>
    </row>
    <row r="8" spans="1:10" ht="17.100000000000001" customHeight="1" x14ac:dyDescent="0.25">
      <c r="A8" s="107" t="s">
        <v>58</v>
      </c>
      <c r="B8" s="108"/>
      <c r="C8" s="62" t="s">
        <v>16</v>
      </c>
      <c r="D8" s="15"/>
      <c r="E8" s="111" t="str" cm="1">
        <f t="array" ref="E8">IF(EstEnModeDev(),"Mode Développeur","Mode Utilisateur")</f>
        <v>Mode Utilisateur</v>
      </c>
      <c r="F8" s="15"/>
      <c r="G8" s="15"/>
      <c r="H8" s="109"/>
      <c r="I8" s="109"/>
      <c r="J8" s="110"/>
    </row>
    <row r="9" spans="1:10" ht="17.100000000000001" customHeight="1" x14ac:dyDescent="0.25">
      <c r="A9" s="107" t="s">
        <v>59</v>
      </c>
      <c r="B9" s="108"/>
      <c r="C9" s="85" t="s">
        <v>16</v>
      </c>
      <c r="D9" s="15"/>
      <c r="E9" s="111"/>
      <c r="F9" s="15"/>
      <c r="G9" s="15"/>
      <c r="H9" s="109"/>
      <c r="I9" s="109"/>
      <c r="J9" s="110"/>
    </row>
    <row r="10" spans="1:10" ht="17.100000000000001" customHeight="1" x14ac:dyDescent="0.25">
      <c r="A10" s="107" t="s">
        <v>2</v>
      </c>
      <c r="B10" s="108"/>
      <c r="C10" s="63" t="s">
        <v>16</v>
      </c>
      <c r="D10" s="15"/>
      <c r="E10" s="111"/>
      <c r="F10" s="15"/>
      <c r="G10" s="15"/>
      <c r="H10" s="109"/>
      <c r="I10" s="109"/>
      <c r="J10" s="110"/>
    </row>
    <row r="11" spans="1:10" ht="5.0999999999999996" customHeight="1" x14ac:dyDescent="0.25">
      <c r="A11" s="34"/>
      <c r="B11" s="35"/>
      <c r="C11" s="50"/>
      <c r="D11" s="15"/>
      <c r="E11" s="36"/>
      <c r="F11" s="37"/>
      <c r="G11" s="37"/>
      <c r="H11" s="37"/>
      <c r="I11" s="37"/>
      <c r="J11" s="42"/>
    </row>
    <row r="12" spans="1:10" ht="17.100000000000001" customHeight="1" x14ac:dyDescent="0.25">
      <c r="A12" s="43" t="s">
        <v>5</v>
      </c>
      <c r="B12" s="38" t="s">
        <v>4</v>
      </c>
      <c r="C12" s="28" t="s">
        <v>1</v>
      </c>
      <c r="D12" s="28"/>
      <c r="E12" s="28" t="s">
        <v>0</v>
      </c>
      <c r="F12" s="28"/>
      <c r="G12" s="28" t="s">
        <v>15</v>
      </c>
      <c r="H12" s="54" t="s">
        <v>7</v>
      </c>
      <c r="I12" s="53" t="str">
        <f>IF(SUM(G15:G21) &gt; 0,SUM(G15:G21) &amp; IF(SUM(G15:G21)=1," ligne en erreur"," lignes en erreur"),"OK")</f>
        <v>OK</v>
      </c>
      <c r="J12" s="44"/>
    </row>
    <row r="13" spans="1:10" ht="5.0999999999999996" customHeight="1" thickBot="1" x14ac:dyDescent="0.3">
      <c r="A13" s="45"/>
      <c r="B13" s="46"/>
      <c r="C13" s="47"/>
      <c r="D13" s="47"/>
      <c r="E13" s="48"/>
      <c r="F13" s="47"/>
      <c r="G13" s="47"/>
      <c r="H13" s="47"/>
      <c r="I13" s="47"/>
      <c r="J13" s="49"/>
    </row>
    <row r="14" spans="1:10" ht="9.9499999999999993" customHeight="1" thickBot="1" x14ac:dyDescent="0.3">
      <c r="F14" s="9"/>
    </row>
    <row r="15" spans="1:10" s="7" customFormat="1" ht="15" customHeight="1" thickBot="1" x14ac:dyDescent="0.3">
      <c r="A15" s="96" t="s">
        <v>6</v>
      </c>
      <c r="B15" s="97"/>
      <c r="C15" s="26" t="s">
        <v>6</v>
      </c>
      <c r="D15" s="60" t="str">
        <f>IF(F15&lt;&gt;"NON RENSEIGNE",CHAR(232),"")</f>
        <v/>
      </c>
      <c r="E15" s="64" t="s">
        <v>16</v>
      </c>
      <c r="F15" s="23" t="str">
        <f>IF(OR(E15="",E15="Non renseigné"),"NON RENSEIGNE","-- " &amp; E15)</f>
        <v>NON RENSEIGNE</v>
      </c>
      <c r="G15" s="9">
        <f t="shared" ref="G15" si="0">IF(F15="",1,0 + IF(H15&lt;&gt;"",1,0))</f>
        <v>0</v>
      </c>
      <c r="H15" s="98" t="str">
        <f>IF(NOT(ISERROR(SEARCH(CHAR(10),E15))),"Retour à la ligne non autorisé","")</f>
        <v/>
      </c>
      <c r="I15" s="99"/>
      <c r="J15" s="100"/>
    </row>
    <row r="16" spans="1:10" s="7" customFormat="1" ht="15" customHeight="1" x14ac:dyDescent="0.25">
      <c r="A16" s="118" t="s">
        <v>26</v>
      </c>
      <c r="B16" s="121" t="s">
        <v>27</v>
      </c>
      <c r="C16" s="74" t="s">
        <v>51</v>
      </c>
      <c r="D16" s="60" t="str">
        <f t="shared" ref="D16:D21" si="1">IF(F16&lt;&gt;"NON RENSEIGNE",CHAR(232),"")</f>
        <v/>
      </c>
      <c r="E16" s="79" t="s">
        <v>16</v>
      </c>
      <c r="F16" s="23" t="str">
        <f>_xlfn.IFNA(VLOOKUP(E16,Restituer_Bouteille_Val,2,FALSE),"")</f>
        <v>NON RENSEIGNE</v>
      </c>
      <c r="G16" s="9">
        <f>IF(F16="",1,0 + IF(H16&lt;&gt;"",1,0))</f>
        <v>0</v>
      </c>
      <c r="H16" s="112" t="str">
        <f t="shared" ref="H16" si="2">IF(F16="","Absence de données "&amp;C16&amp;". Requête impossible à créer.","")</f>
        <v/>
      </c>
      <c r="I16" s="113"/>
      <c r="J16" s="114"/>
    </row>
    <row r="17" spans="1:10" s="14" customFormat="1" ht="15" customHeight="1" x14ac:dyDescent="0.25">
      <c r="A17" s="119"/>
      <c r="B17" s="122"/>
      <c r="C17" s="75" t="s">
        <v>28</v>
      </c>
      <c r="D17" s="60" t="str">
        <f t="shared" si="1"/>
        <v/>
      </c>
      <c r="E17" s="77" t="s">
        <v>34</v>
      </c>
      <c r="F17" s="31" t="str">
        <f>_xlfn.IFNA(VLOOKUP(E17,Marque_Val,2,FALSE),"")</f>
        <v>NON RENSEIGNE</v>
      </c>
      <c r="G17" s="32">
        <f>IF(F17="",1,0 + IF(H17&lt;&gt;"",1,0))</f>
        <v>0</v>
      </c>
      <c r="H17" s="101" t="str">
        <f>IF(F17="","Absence de données "&amp;C17&amp;". Requête impossible à créer.","")</f>
        <v/>
      </c>
      <c r="I17" s="102"/>
      <c r="J17" s="103"/>
    </row>
    <row r="18" spans="1:10" s="14" customFormat="1" ht="15" customHeight="1" thickBot="1" x14ac:dyDescent="0.3">
      <c r="A18" s="119"/>
      <c r="B18" s="123"/>
      <c r="C18" s="80" t="s">
        <v>33</v>
      </c>
      <c r="D18" s="60" t="str">
        <f t="shared" si="1"/>
        <v/>
      </c>
      <c r="E18" s="73" t="s">
        <v>34</v>
      </c>
      <c r="F18" s="31" t="str">
        <f>_xlfn.IFNA(VLOOKUP(E18,Ville_Val,2,FALSE),"")</f>
        <v>NON RENSEIGNE</v>
      </c>
      <c r="G18" s="32">
        <f t="shared" ref="G18:G21" si="3">IF(F18="",1,0 + IF(H18&lt;&gt;"",1,0))</f>
        <v>0</v>
      </c>
      <c r="H18" s="104" t="str">
        <f t="shared" ref="H18:H21" si="4">IF(F18="","Absence de données "&amp;C18&amp;". Requête impossible à créer.","")</f>
        <v/>
      </c>
      <c r="I18" s="105"/>
      <c r="J18" s="106"/>
    </row>
    <row r="19" spans="1:10" s="14" customFormat="1" ht="15" customHeight="1" x14ac:dyDescent="0.25">
      <c r="A19" s="119"/>
      <c r="B19" s="124" t="s">
        <v>43</v>
      </c>
      <c r="C19" s="84" t="s">
        <v>50</v>
      </c>
      <c r="D19" s="60" t="str">
        <f t="shared" si="1"/>
        <v/>
      </c>
      <c r="E19" s="81" t="s">
        <v>34</v>
      </c>
      <c r="F19" s="23" t="str">
        <f>_xlfn.IFNA(VLOOKUP(E19,Ion_Val,2,FALSE),"")</f>
        <v>NON RENSEIGNE</v>
      </c>
      <c r="G19" s="32">
        <f t="shared" si="3"/>
        <v>0</v>
      </c>
      <c r="H19" s="115" t="str">
        <f t="shared" si="4"/>
        <v/>
      </c>
      <c r="I19" s="116"/>
      <c r="J19" s="117"/>
    </row>
    <row r="20" spans="1:10" collapsed="1" x14ac:dyDescent="0.25">
      <c r="A20" s="119"/>
      <c r="B20" s="125"/>
      <c r="C20" s="76" t="s">
        <v>44</v>
      </c>
      <c r="D20" s="60" t="str">
        <f t="shared" si="1"/>
        <v/>
      </c>
      <c r="E20" s="82" t="s">
        <v>34</v>
      </c>
      <c r="F20" s="9" t="str">
        <f>_xlfn.IFNA(VLOOKUP(E20,Ion_Val,2,FALSE),"")</f>
        <v>NON RENSEIGNE</v>
      </c>
      <c r="G20" s="8">
        <f t="shared" si="3"/>
        <v>0</v>
      </c>
      <c r="H20" s="127" t="str">
        <f t="shared" si="4"/>
        <v/>
      </c>
      <c r="I20" s="128"/>
      <c r="J20" s="129"/>
    </row>
    <row r="21" spans="1:10" ht="15.75" thickBot="1" x14ac:dyDescent="0.3">
      <c r="A21" s="120"/>
      <c r="B21" s="126"/>
      <c r="C21" s="71" t="s">
        <v>45</v>
      </c>
      <c r="D21" s="60" t="str">
        <f t="shared" si="1"/>
        <v/>
      </c>
      <c r="E21" s="83" t="s">
        <v>34</v>
      </c>
      <c r="F21" s="9" t="str">
        <f>IF(OR(E21="",LEFT(E21,13)="Non renseigné"),"NON RENSEIGNE"," = " &amp; E21 )</f>
        <v>NON RENSEIGNE</v>
      </c>
      <c r="G21" s="8">
        <f t="shared" si="3"/>
        <v>0</v>
      </c>
      <c r="H21" s="130" t="str">
        <f t="shared" si="4"/>
        <v/>
      </c>
      <c r="I21" s="131"/>
      <c r="J21" s="132"/>
    </row>
  </sheetData>
  <sheetProtection sheet="1" objects="1" scenarios="1" selectLockedCells="1"/>
  <dataConsolidate/>
  <mergeCells count="18">
    <mergeCell ref="H19:J19"/>
    <mergeCell ref="A16:A21"/>
    <mergeCell ref="B16:B18"/>
    <mergeCell ref="B19:B21"/>
    <mergeCell ref="H20:J20"/>
    <mergeCell ref="H21:J21"/>
    <mergeCell ref="A15:B15"/>
    <mergeCell ref="H15:J15"/>
    <mergeCell ref="H17:J17"/>
    <mergeCell ref="H18:J18"/>
    <mergeCell ref="A3:B3"/>
    <mergeCell ref="A4:B4"/>
    <mergeCell ref="H8:J10"/>
    <mergeCell ref="A8:B8"/>
    <mergeCell ref="A10:B10"/>
    <mergeCell ref="E8:E10"/>
    <mergeCell ref="A9:B9"/>
    <mergeCell ref="H16:J16"/>
  </mergeCells>
  <conditionalFormatting sqref="C15:C19">
    <cfRule type="expression" dxfId="2" priority="116">
      <formula>$G15&lt;&gt;0</formula>
    </cfRule>
  </conditionalFormatting>
  <conditionalFormatting sqref="E15:E19">
    <cfRule type="notContainsText" dxfId="1" priority="101" operator="notContains" text="Non">
      <formula>ISERROR(SEARCH("Non",E15))</formula>
    </cfRule>
  </conditionalFormatting>
  <conditionalFormatting sqref="I12">
    <cfRule type="cellIs" dxfId="0" priority="115" operator="equal">
      <formula>"OK"</formula>
    </cfRule>
  </conditionalFormatting>
  <dataValidations count="11">
    <dataValidation type="list" allowBlank="1" showInputMessage="1" showErrorMessage="1" sqref="C3" xr:uid="{9DAAE909-2C8F-4C91-A59B-1B88CC10DDCE}">
      <formula1>Environnement</formula1>
    </dataValidation>
    <dataValidation type="list" allowBlank="1" showInputMessage="1" showErrorMessage="1" sqref="C4" xr:uid="{E1665FE5-5BED-41F2-9673-76DC537F070D}">
      <formula1>Partition_SGBD</formula1>
    </dataValidation>
    <dataValidation type="list" allowBlank="1" showDropDown="1" showInputMessage="1" sqref="C8" xr:uid="{DEFB5A78-505D-4395-827E-AA0BA9ED75E4}">
      <formula1>Date_Saisie_NR</formula1>
    </dataValidation>
    <dataValidation type="list" allowBlank="1" showDropDown="1" showInputMessage="1" sqref="C9" xr:uid="{320F4448-FDA8-475C-86A0-4BF17D8328AD}">
      <formula1>Horodatage_Saisi_NR</formula1>
    </dataValidation>
    <dataValidation type="list" allowBlank="1" showDropDown="1" showInputMessage="1" sqref="C10" xr:uid="{8462E52D-2F6E-49A0-B6C6-8115DD756110}">
      <formula1>Nbre_Resultats_Max_NR</formula1>
    </dataValidation>
    <dataValidation type="list" allowBlank="1" showInputMessage="1" showErrorMessage="1" sqref="E17" xr:uid="{61AFDD36-B466-4A5A-89DE-8DE837C656A0}">
      <formula1>Marque</formula1>
    </dataValidation>
    <dataValidation type="list" allowBlank="1" showInputMessage="1" showErrorMessage="1" sqref="E18" xr:uid="{18C6C74F-D24A-47B3-B6AA-22D3133331F7}">
      <formula1>Ville</formula1>
    </dataValidation>
    <dataValidation type="list" allowBlank="1" showInputMessage="1" showErrorMessage="1" sqref="E20 E19" xr:uid="{BCB539F0-DA62-4741-96C9-6B33540962EE}">
      <formula1>Ion</formula1>
    </dataValidation>
    <dataValidation type="list" allowBlank="1" showInputMessage="1" showErrorMessage="1" sqref="E16" xr:uid="{B09DE9F5-BC73-498C-B21F-23CD2DAF10ED}">
      <formula1>Restituer_Bouteille</formula1>
    </dataValidation>
    <dataValidation type="list" allowBlank="1" showDropDown="1" showInputMessage="1" sqref="E15" xr:uid="{C6854E6A-4E80-4F0D-9713-0BACCEE15A15}">
      <formula1>Commentaire</formula1>
    </dataValidation>
    <dataValidation type="list" allowBlank="1" showDropDown="1" showInputMessage="1" sqref="E21" xr:uid="{77954BE7-B035-4328-A598-A5300303FA8D}">
      <formula1>Quantité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4" r:id="rId4" name="Button 60">
              <controlPr defaultSize="0" print="0" autoFill="0" autoPict="0" macro="[0]!Reinitialiser">
                <anchor>
                  <from>
                    <xdr:col>4</xdr:col>
                    <xdr:colOff>219075</xdr:colOff>
                    <xdr:row>2</xdr:row>
                    <xdr:rowOff>28575</xdr:rowOff>
                  </from>
                  <to>
                    <xdr:col>4</xdr:col>
                    <xdr:colOff>1295400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" name="Button 61">
              <controlPr defaultSize="0" print="0" autoFill="0" autoPict="0" macro="[0]!CopierRequetePressePapiers">
                <anchor>
                  <from>
                    <xdr:col>4</xdr:col>
                    <xdr:colOff>1447800</xdr:colOff>
                    <xdr:row>2</xdr:row>
                    <xdr:rowOff>28575</xdr:rowOff>
                  </from>
                  <to>
                    <xdr:col>5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D28"/>
  <sheetViews>
    <sheetView showGridLines="0" zoomScaleNormal="100" workbookViewId="0">
      <pane ySplit="1" topLeftCell="A2" activePane="bottomLeft" state="frozen"/>
      <selection pane="bottomLeft" activeCell="C22" sqref="C22"/>
    </sheetView>
  </sheetViews>
  <sheetFormatPr baseColWidth="10" defaultColWidth="9.140625" defaultRowHeight="15" x14ac:dyDescent="0.25"/>
  <cols>
    <col min="1" max="1" width="38.7109375" style="16" customWidth="1"/>
    <col min="2" max="2" width="55.28515625" style="16" bestFit="1" customWidth="1"/>
    <col min="3" max="3" width="65.28515625" style="21" bestFit="1" customWidth="1"/>
    <col min="4" max="4" width="11.140625" customWidth="1"/>
  </cols>
  <sheetData>
    <row r="1" spans="1:4" x14ac:dyDescent="0.25">
      <c r="A1" s="17" t="s">
        <v>19</v>
      </c>
      <c r="B1" s="17" t="s">
        <v>18</v>
      </c>
      <c r="C1" s="20" t="s">
        <v>0</v>
      </c>
    </row>
    <row r="2" spans="1:4" x14ac:dyDescent="0.25">
      <c r="A2" s="86" t="s">
        <v>60</v>
      </c>
      <c r="B2" s="86" t="s">
        <v>16</v>
      </c>
      <c r="C2" s="88" t="s">
        <v>10</v>
      </c>
    </row>
    <row r="3" spans="1:4" x14ac:dyDescent="0.25">
      <c r="A3" s="86" t="s">
        <v>61</v>
      </c>
      <c r="B3" s="86" t="s">
        <v>16</v>
      </c>
      <c r="C3" s="88" t="s">
        <v>10</v>
      </c>
    </row>
    <row r="4" spans="1:4" x14ac:dyDescent="0.25">
      <c r="A4" s="86" t="s">
        <v>17</v>
      </c>
      <c r="B4" s="86" t="s">
        <v>16</v>
      </c>
      <c r="C4" s="88" t="s">
        <v>10</v>
      </c>
    </row>
    <row r="5" spans="1:4" x14ac:dyDescent="0.25">
      <c r="A5" s="86" t="s">
        <v>6</v>
      </c>
      <c r="B5" s="86" t="s">
        <v>16</v>
      </c>
      <c r="C5" s="88" t="s">
        <v>10</v>
      </c>
    </row>
    <row r="6" spans="1:4" x14ac:dyDescent="0.25">
      <c r="A6" s="86" t="s">
        <v>12</v>
      </c>
      <c r="B6" s="87" t="b">
        <v>1</v>
      </c>
      <c r="C6" s="88" t="s">
        <v>13</v>
      </c>
    </row>
    <row r="7" spans="1:4" x14ac:dyDescent="0.25">
      <c r="A7" s="89" t="s">
        <v>12</v>
      </c>
      <c r="B7" s="90" t="b">
        <v>0</v>
      </c>
      <c r="C7" s="91" t="s">
        <v>14</v>
      </c>
    </row>
    <row r="8" spans="1:4" s="19" customFormat="1" x14ac:dyDescent="0.25">
      <c r="A8" s="92" t="s">
        <v>3</v>
      </c>
      <c r="B8" s="92" t="s">
        <v>16</v>
      </c>
      <c r="C8" s="93" t="s">
        <v>10</v>
      </c>
    </row>
    <row r="9" spans="1:4" s="19" customFormat="1" x14ac:dyDescent="0.25">
      <c r="A9" s="94" t="s">
        <v>3</v>
      </c>
      <c r="B9" s="94" t="s">
        <v>20</v>
      </c>
      <c r="C9" s="95" t="s">
        <v>23</v>
      </c>
    </row>
    <row r="10" spans="1:4" s="19" customFormat="1" x14ac:dyDescent="0.25">
      <c r="A10" s="94" t="s">
        <v>3</v>
      </c>
      <c r="B10" s="94" t="s">
        <v>21</v>
      </c>
      <c r="C10" s="95" t="s">
        <v>22</v>
      </c>
    </row>
    <row r="11" spans="1:4" x14ac:dyDescent="0.25">
      <c r="A11" s="58" t="s">
        <v>54</v>
      </c>
      <c r="B11" s="58" t="s">
        <v>16</v>
      </c>
      <c r="C11" s="59" t="s">
        <v>10</v>
      </c>
    </row>
    <row r="12" spans="1:4" x14ac:dyDescent="0.25">
      <c r="A12" s="68" t="s">
        <v>54</v>
      </c>
      <c r="B12" s="68" t="s">
        <v>52</v>
      </c>
      <c r="C12" s="78" t="s">
        <v>56</v>
      </c>
    </row>
    <row r="13" spans="1:4" x14ac:dyDescent="0.25">
      <c r="A13" s="68" t="s">
        <v>54</v>
      </c>
      <c r="B13" s="68" t="s">
        <v>53</v>
      </c>
      <c r="C13" s="78" t="s">
        <v>57</v>
      </c>
    </row>
    <row r="14" spans="1:4" x14ac:dyDescent="0.25">
      <c r="A14" s="58" t="s">
        <v>28</v>
      </c>
      <c r="B14" s="56" t="s">
        <v>34</v>
      </c>
      <c r="C14" s="57" t="s">
        <v>10</v>
      </c>
    </row>
    <row r="15" spans="1:4" x14ac:dyDescent="0.25">
      <c r="A15" s="22" t="s">
        <v>28</v>
      </c>
      <c r="B15" s="18" t="s">
        <v>30</v>
      </c>
      <c r="C15" s="67" t="s">
        <v>29</v>
      </c>
      <c r="D15" s="65"/>
    </row>
    <row r="16" spans="1:4" x14ac:dyDescent="0.25">
      <c r="A16" s="22" t="s">
        <v>28</v>
      </c>
      <c r="B16" s="18" t="s">
        <v>31</v>
      </c>
      <c r="C16" s="67" t="s">
        <v>32</v>
      </c>
      <c r="D16" s="65"/>
    </row>
    <row r="17" spans="1:3" x14ac:dyDescent="0.25">
      <c r="A17" s="58" t="s">
        <v>33</v>
      </c>
      <c r="B17" s="56" t="s">
        <v>34</v>
      </c>
      <c r="C17" s="57" t="s">
        <v>10</v>
      </c>
    </row>
    <row r="18" spans="1:3" x14ac:dyDescent="0.25">
      <c r="A18" s="68" t="s">
        <v>33</v>
      </c>
      <c r="B18" s="69" t="s">
        <v>35</v>
      </c>
      <c r="C18" s="70" t="s">
        <v>36</v>
      </c>
    </row>
    <row r="19" spans="1:3" x14ac:dyDescent="0.25">
      <c r="A19" s="68" t="s">
        <v>33</v>
      </c>
      <c r="B19" s="69" t="s">
        <v>37</v>
      </c>
      <c r="C19" s="70" t="s">
        <v>38</v>
      </c>
    </row>
    <row r="20" spans="1:3" x14ac:dyDescent="0.25">
      <c r="A20" s="68" t="s">
        <v>33</v>
      </c>
      <c r="B20" s="69" t="s">
        <v>39</v>
      </c>
      <c r="C20" s="70" t="s">
        <v>40</v>
      </c>
    </row>
    <row r="21" spans="1:3" x14ac:dyDescent="0.25">
      <c r="A21" s="68" t="s">
        <v>33</v>
      </c>
      <c r="B21" s="69" t="s">
        <v>42</v>
      </c>
      <c r="C21" s="70" t="s">
        <v>41</v>
      </c>
    </row>
    <row r="22" spans="1:3" x14ac:dyDescent="0.25">
      <c r="A22" s="58" t="s">
        <v>55</v>
      </c>
      <c r="B22" s="58" t="s">
        <v>16</v>
      </c>
      <c r="C22" s="59" t="s">
        <v>10</v>
      </c>
    </row>
    <row r="23" spans="1:3" x14ac:dyDescent="0.25">
      <c r="A23" s="68" t="s">
        <v>55</v>
      </c>
      <c r="B23" s="68" t="s">
        <v>52</v>
      </c>
      <c r="C23" s="78" t="s">
        <v>56</v>
      </c>
    </row>
    <row r="24" spans="1:3" x14ac:dyDescent="0.25">
      <c r="A24" s="68" t="s">
        <v>55</v>
      </c>
      <c r="B24" s="68" t="s">
        <v>53</v>
      </c>
      <c r="C24" s="78" t="s">
        <v>57</v>
      </c>
    </row>
    <row r="25" spans="1:3" x14ac:dyDescent="0.25">
      <c r="A25" s="72" t="s">
        <v>44</v>
      </c>
      <c r="B25" s="56" t="s">
        <v>34</v>
      </c>
      <c r="C25" s="57" t="s">
        <v>10</v>
      </c>
    </row>
    <row r="26" spans="1:3" x14ac:dyDescent="0.25">
      <c r="A26" s="68" t="s">
        <v>44</v>
      </c>
      <c r="B26" s="69" t="s">
        <v>46</v>
      </c>
      <c r="C26" s="70" t="s">
        <v>49</v>
      </c>
    </row>
    <row r="27" spans="1:3" x14ac:dyDescent="0.25">
      <c r="A27" s="68" t="s">
        <v>44</v>
      </c>
      <c r="B27" s="69" t="s">
        <v>47</v>
      </c>
      <c r="C27" s="70" t="s">
        <v>48</v>
      </c>
    </row>
    <row r="28" spans="1:3" x14ac:dyDescent="0.25">
      <c r="A28" s="72" t="s">
        <v>45</v>
      </c>
      <c r="B28" s="56" t="s">
        <v>34</v>
      </c>
      <c r="C28" s="57" t="s">
        <v>10</v>
      </c>
    </row>
  </sheetData>
  <autoFilter ref="A1:C28" xr:uid="{00000000-0001-0000-0200-000000000000}"/>
  <phoneticPr fontId="1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eactualiserNomsExcel">
                <anchor>
                  <from>
                    <xdr:col>3</xdr:col>
                    <xdr:colOff>209550</xdr:colOff>
                    <xdr:row>0</xdr:row>
                    <xdr:rowOff>0</xdr:rowOff>
                  </from>
                  <to>
                    <xdr:col>6</xdr:col>
                    <xdr:colOff>95250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B3"/>
  <sheetViews>
    <sheetView showGridLines="0" workbookViewId="0">
      <selection activeCell="B2" sqref="B2"/>
    </sheetView>
  </sheetViews>
  <sheetFormatPr baseColWidth="10" defaultRowHeight="15" x14ac:dyDescent="0.25"/>
  <cols>
    <col min="1" max="1" width="20.5703125" bestFit="1" customWidth="1"/>
    <col min="2" max="2" width="20.7109375" customWidth="1"/>
  </cols>
  <sheetData>
    <row r="1" spans="1:2" ht="15.75" thickBot="1" x14ac:dyDescent="0.3">
      <c r="A1" s="24" t="s">
        <v>8</v>
      </c>
      <c r="B1" s="25" t="s">
        <v>9</v>
      </c>
    </row>
    <row r="2" spans="1:2" x14ac:dyDescent="0.25">
      <c r="A2" s="51" t="s">
        <v>11</v>
      </c>
      <c r="B2" s="55" t="s">
        <v>14</v>
      </c>
    </row>
    <row r="3" spans="1:2" x14ac:dyDescent="0.25">
      <c r="A3" s="68" t="s">
        <v>25</v>
      </c>
      <c r="B3" s="68" t="s">
        <v>24</v>
      </c>
    </row>
  </sheetData>
  <sheetProtection sheet="1" objects="1" scenarios="1" selectLockedCells="1"/>
  <dataValidations count="1">
    <dataValidation type="list" allowBlank="1" showInputMessage="1" errorTitle="Saisie invalide" error="Le paramètre &quot;Debug&quot; n'accepte que les valeurs Vrai et Faux" sqref="B2" xr:uid="{35D0248F-8003-4F4D-B4D2-E962827AFDB3}">
      <formula1>Mode_Developpeur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35</vt:i4>
      </vt:variant>
    </vt:vector>
  </HeadingPairs>
  <TitlesOfParts>
    <vt:vector size="38" baseType="lpstr">
      <vt:lpstr>Générer Requêtes</vt:lpstr>
      <vt:lpstr>DV</vt:lpstr>
      <vt:lpstr>Paramètres</vt:lpstr>
      <vt:lpstr>Commentaire</vt:lpstr>
      <vt:lpstr>Commentaire_Val</vt:lpstr>
      <vt:lpstr>Controles</vt:lpstr>
      <vt:lpstr>Date_Saisie</vt:lpstr>
      <vt:lpstr>Date_Saisie_NR</vt:lpstr>
      <vt:lpstr>Date_Saisie_NR_Val</vt:lpstr>
      <vt:lpstr>Environnement</vt:lpstr>
      <vt:lpstr>Environnement_Val</vt:lpstr>
      <vt:lpstr>Horodatage_Saisi</vt:lpstr>
      <vt:lpstr>Horodatage_Saisi_NR</vt:lpstr>
      <vt:lpstr>Horodatage_Saisi_NR_Val</vt:lpstr>
      <vt:lpstr>Ion</vt:lpstr>
      <vt:lpstr>Ion_Val</vt:lpstr>
      <vt:lpstr>Lib_Critère</vt:lpstr>
      <vt:lpstr>Lib_Ind_Erreur</vt:lpstr>
      <vt:lpstr>Lib_SQL</vt:lpstr>
      <vt:lpstr>Lib_Valeur</vt:lpstr>
      <vt:lpstr>Marque</vt:lpstr>
      <vt:lpstr>Marque_Val</vt:lpstr>
      <vt:lpstr>Mode_Developpeur</vt:lpstr>
      <vt:lpstr>Mode_Developpeur_Val</vt:lpstr>
      <vt:lpstr>Nbre_Resultats_Max</vt:lpstr>
      <vt:lpstr>Nbre_Resultats_Max_NR</vt:lpstr>
      <vt:lpstr>Nbre_Resultats_Max_NR_Val</vt:lpstr>
      <vt:lpstr>No_Partition_SGBD</vt:lpstr>
      <vt:lpstr>Quantité</vt:lpstr>
      <vt:lpstr>Quantité_Val</vt:lpstr>
      <vt:lpstr>Restituer_Bouteille</vt:lpstr>
      <vt:lpstr>Restituer_Bouteille_Val</vt:lpstr>
      <vt:lpstr>Restituer_Composition</vt:lpstr>
      <vt:lpstr>Restituer_Composition_Val</vt:lpstr>
      <vt:lpstr>Schema</vt:lpstr>
      <vt:lpstr>Statut</vt:lpstr>
      <vt:lpstr>Ville</vt:lpstr>
      <vt:lpstr>Ville_Val</vt:lpstr>
    </vt:vector>
  </TitlesOfParts>
  <Company/>
  <LinksUpToDate>false</LinksUpToDate>
  <SharedDoc>false</SharedDoc>
  <HyperlinkBase>https://github.com/VBA-Outils/RequeteSQL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ROSSET</dc:creator>
  <cp:lastModifiedBy>Vincent ROSSET</cp:lastModifiedBy>
  <dcterms:created xsi:type="dcterms:W3CDTF">2006-09-16T00:00:00Z</dcterms:created>
  <dcterms:modified xsi:type="dcterms:W3CDTF">2025-02-23T17:16:44Z</dcterms:modified>
</cp:coreProperties>
</file>